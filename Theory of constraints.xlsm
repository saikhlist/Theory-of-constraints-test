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345" yWindow="2775" windowWidth="14145" windowHeight="5385"/>
  </bookViews>
  <sheets>
    <sheet name="Dynamic capacity" sheetId="4" r:id="rId1"/>
  </sheets>
  <calcPr calcId="145621"/>
</workbook>
</file>

<file path=xl/calcChain.xml><?xml version="1.0" encoding="utf-8"?>
<calcChain xmlns="http://schemas.openxmlformats.org/spreadsheetml/2006/main">
  <c r="E8" i="4" l="1"/>
  <c r="G8" i="4" s="1"/>
  <c r="A14" i="4"/>
  <c r="A15" i="4"/>
  <c r="A16" i="4"/>
  <c r="A13" i="4"/>
  <c r="B16" i="4"/>
  <c r="B15" i="4"/>
  <c r="B14" i="4"/>
  <c r="B13" i="4"/>
  <c r="Y2" i="4" l="1"/>
  <c r="V2" i="4"/>
  <c r="S2" i="4"/>
  <c r="P2" i="4"/>
  <c r="M2" i="4"/>
  <c r="J2" i="4"/>
  <c r="G2" i="4"/>
  <c r="W8" i="4"/>
  <c r="W7" i="4"/>
  <c r="W6" i="4"/>
  <c r="W5" i="4"/>
  <c r="T8" i="4"/>
  <c r="T7" i="4"/>
  <c r="T6" i="4"/>
  <c r="T5" i="4"/>
  <c r="Q8" i="4"/>
  <c r="Q7" i="4"/>
  <c r="Q6" i="4"/>
  <c r="Q5" i="4"/>
  <c r="N8" i="4"/>
  <c r="N7" i="4"/>
  <c r="N6" i="4"/>
  <c r="N5" i="4"/>
  <c r="K8" i="4"/>
  <c r="K7" i="4"/>
  <c r="K6" i="4"/>
  <c r="K5" i="4"/>
  <c r="H8" i="4"/>
  <c r="H7" i="4"/>
  <c r="H6" i="4"/>
  <c r="H5" i="4"/>
  <c r="E6" i="4"/>
  <c r="G6" i="4" s="1"/>
  <c r="E7" i="4"/>
  <c r="G7" i="4" s="1"/>
  <c r="E5" i="4"/>
  <c r="G5" i="4" l="1"/>
  <c r="I6" i="4" s="1"/>
  <c r="I5" i="4"/>
  <c r="I7" i="4"/>
  <c r="I8" i="4"/>
  <c r="C15" i="4" l="1"/>
  <c r="J7" i="4"/>
  <c r="C16" i="4"/>
  <c r="J8" i="4"/>
  <c r="C13" i="4"/>
  <c r="J5" i="4"/>
  <c r="C14" i="4"/>
  <c r="J6" i="4"/>
  <c r="L5" i="4"/>
  <c r="D13" i="4" l="1"/>
  <c r="M5" i="4"/>
  <c r="O5" i="4"/>
  <c r="L6" i="4"/>
  <c r="L7" i="4"/>
  <c r="L8" i="4"/>
  <c r="M8" i="4" s="1"/>
  <c r="E13" i="4" l="1"/>
  <c r="P5" i="4"/>
  <c r="D14" i="4"/>
  <c r="M6" i="4"/>
  <c r="O6" i="4" s="1"/>
  <c r="D15" i="4"/>
  <c r="M7" i="4"/>
  <c r="D16" i="4"/>
  <c r="R5" i="4"/>
  <c r="F13" i="4" s="1"/>
  <c r="E14" i="4" l="1"/>
  <c r="P6" i="4"/>
  <c r="R6" i="4" s="1"/>
  <c r="F14" i="4" s="1"/>
  <c r="S5" i="4"/>
  <c r="U5" i="4"/>
  <c r="O7" i="4"/>
  <c r="O8" i="4"/>
  <c r="G13" i="4" l="1"/>
  <c r="V5" i="4"/>
  <c r="E15" i="4"/>
  <c r="P7" i="4"/>
  <c r="R7" i="4" s="1"/>
  <c r="F15" i="4" s="1"/>
  <c r="E16" i="4"/>
  <c r="P8" i="4"/>
  <c r="X5" i="4"/>
  <c r="S6" i="4"/>
  <c r="U6" i="4" s="1"/>
  <c r="H13" i="4" l="1"/>
  <c r="Y5" i="4"/>
  <c r="G14" i="4"/>
  <c r="V6" i="4"/>
  <c r="R8" i="4"/>
  <c r="F16" i="4" s="1"/>
  <c r="S7" i="4"/>
  <c r="U7" i="4" s="1"/>
  <c r="G15" i="4" l="1"/>
  <c r="V7" i="4"/>
  <c r="X7" i="4" s="1"/>
  <c r="S8" i="4"/>
  <c r="X6" i="4"/>
  <c r="U8" i="4" l="1"/>
  <c r="G16" i="4" s="1"/>
  <c r="H14" i="4"/>
  <c r="Y6" i="4"/>
  <c r="H15" i="4"/>
  <c r="Y7" i="4"/>
  <c r="V8" i="4" l="1"/>
  <c r="X8" i="4" s="1"/>
  <c r="Y8" i="4" s="1"/>
  <c r="B19" i="4" s="1"/>
  <c r="H16" i="4" l="1"/>
  <c r="H17" i="4" s="1"/>
</calcChain>
</file>

<file path=xl/comments1.xml><?xml version="1.0" encoding="utf-8"?>
<comments xmlns="http://schemas.openxmlformats.org/spreadsheetml/2006/main">
  <authors>
    <author>Khunpha, Keith</author>
  </authors>
  <commentList>
    <comment ref="A2" authorId="0">
      <text>
        <r>
          <rPr>
            <sz val="9"/>
            <color indexed="81"/>
            <rFont val="Tahoma"/>
            <family val="2"/>
          </rPr>
          <t>This row represents new patients into the system (eg. via GP)</t>
        </r>
      </text>
    </comment>
    <comment ref="G2" authorId="0">
      <text>
        <r>
          <rPr>
            <sz val="9"/>
            <color indexed="81"/>
            <rFont val="Tahoma"/>
            <family val="2"/>
          </rPr>
          <t>Each of these blocks represents a 'round' where we roll values for each of the stages.</t>
        </r>
      </text>
    </comment>
    <comment ref="F4" authorId="0">
      <text>
        <r>
          <rPr>
            <sz val="9"/>
            <color indexed="81"/>
            <rFont val="Tahoma"/>
            <family val="2"/>
          </rPr>
          <t>You can set the starting position for the waiting list here</t>
        </r>
      </text>
    </comment>
    <comment ref="G8" authorId="0">
      <text>
        <r>
          <rPr>
            <sz val="9"/>
            <color indexed="81"/>
            <rFont val="Tahoma"/>
            <family val="2"/>
          </rPr>
          <t xml:space="preserve">This is the number of patients discharged for this round.
</t>
        </r>
      </text>
    </comment>
    <comment ref="B11" authorId="0">
      <text>
        <r>
          <rPr>
            <sz val="9"/>
            <color indexed="81"/>
            <rFont val="Tahoma"/>
            <family val="2"/>
          </rPr>
          <t>This is simply a compilation of the list of patients in the 'wait' pile from the rounds calculated above.</t>
        </r>
      </text>
    </comment>
    <comment ref="A17" authorId="0">
      <text>
        <r>
          <rPr>
            <sz val="9"/>
            <color indexed="81"/>
            <rFont val="Tahoma"/>
            <family val="2"/>
          </rPr>
          <t>Total patients still waiting at the end of the run. Note that we originally prime the system with 16 patients.</t>
        </r>
      </text>
    </comment>
    <comment ref="A19" authorId="0">
      <text>
        <r>
          <rPr>
            <sz val="9"/>
            <color indexed="81"/>
            <rFont val="Tahoma"/>
            <family val="2"/>
          </rPr>
          <t>Total patients moved out of the final stage (inpatients) for each of the rounds.</t>
        </r>
      </text>
    </comment>
    <comment ref="B28" authorId="0">
      <text>
        <r>
          <rPr>
            <sz val="9"/>
            <color indexed="81"/>
            <rFont val="Tahoma"/>
            <family val="2"/>
          </rPr>
          <t>This chart shows the patients waiting at each stage, per round. 
You can use this to visualise where backlogs are building up.</t>
        </r>
      </text>
    </comment>
  </commentList>
</comments>
</file>

<file path=xl/sharedStrings.xml><?xml version="1.0" encoding="utf-8"?>
<sst xmlns="http://schemas.openxmlformats.org/spreadsheetml/2006/main" count="47" uniqueCount="26">
  <si>
    <t>First OP</t>
  </si>
  <si>
    <t>Diagnostics</t>
  </si>
  <si>
    <t>Inpatient</t>
  </si>
  <si>
    <t>Stage</t>
  </si>
  <si>
    <t>Rate</t>
  </si>
  <si>
    <t>Waiting</t>
  </si>
  <si>
    <t>Incoming:</t>
  </si>
  <si>
    <t>Moved</t>
  </si>
  <si>
    <t>Lower</t>
  </si>
  <si>
    <t>Upper</t>
  </si>
  <si>
    <t>Discharged</t>
  </si>
  <si>
    <t>Waiting at end:</t>
  </si>
  <si>
    <t>Avg. discharged (1000 runs):</t>
  </si>
  <si>
    <t>Avg waiting (1000 runs):</t>
  </si>
  <si>
    <t>Pre-assessment</t>
  </si>
  <si>
    <t>[@ wk 7]</t>
  </si>
  <si>
    <t>[across 7 wks]</t>
  </si>
  <si>
    <t>1 run</t>
  </si>
  <si>
    <t>Round 1</t>
  </si>
  <si>
    <t>Round 2</t>
  </si>
  <si>
    <t>Round 3</t>
  </si>
  <si>
    <t>Round 4</t>
  </si>
  <si>
    <t>Round 5</t>
  </si>
  <si>
    <t>Round 6</t>
  </si>
  <si>
    <t>Round 7</t>
  </si>
  <si>
    <t>Round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</si>
</sst>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5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sz val="11"/>
      <color theme="1" tint="0.3499862666707357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2" borderId="0" xfId="0" applyFill="1"/>
    <xf numFmtId="0" fontId="1" fillId="2" borderId="0" xfId="0" applyFont="1" applyFill="1"/>
    <xf numFmtId="0" fontId="1" fillId="3" borderId="0" xfId="0" applyFont="1" applyFill="1"/>
    <xf numFmtId="0" fontId="0" fillId="3" borderId="0" xfId="0" applyFill="1"/>
    <xf numFmtId="164" fontId="0" fillId="0" borderId="0" xfId="0" applyNumberFormat="1"/>
    <xf numFmtId="0" fontId="1" fillId="2" borderId="1" xfId="0" applyFont="1" applyFill="1" applyBorder="1"/>
    <xf numFmtId="0" fontId="1" fillId="3" borderId="1" xfId="0" applyFont="1" applyFill="1" applyBorder="1"/>
    <xf numFmtId="0" fontId="1" fillId="0" borderId="2" xfId="0" applyFont="1" applyBorder="1"/>
    <xf numFmtId="0" fontId="4" fillId="0" borderId="2" xfId="0" applyFont="1" applyBorder="1"/>
    <xf numFmtId="0" fontId="0" fillId="0" borderId="2" xfId="0" applyBorder="1"/>
    <xf numFmtId="0" fontId="1" fillId="0" borderId="3" xfId="0" applyFont="1" applyBorder="1"/>
    <xf numFmtId="0" fontId="0" fillId="0" borderId="3" xfId="0" applyBorder="1"/>
    <xf numFmtId="0" fontId="0" fillId="4" borderId="3" xfId="0" applyFill="1" applyBorder="1"/>
    <xf numFmtId="164" fontId="0" fillId="0" borderId="3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'Dynamic capacity'!$A$13</c:f>
              <c:strCache>
                <c:ptCount val="1"/>
                <c:pt idx="0">
                  <c:v>First OP</c:v>
                </c:pt>
              </c:strCache>
            </c:strRef>
          </c:tx>
          <c:invertIfNegative val="0"/>
          <c:val>
            <c:numRef>
              <c:f>'Dynamic capacity'!$B$13:$H$13</c:f>
              <c:numCache>
                <c:formatCode>General</c:formatCode>
                <c:ptCount val="7"/>
                <c:pt idx="0">
                  <c:v>4</c:v>
                </c:pt>
                <c:pt idx="1">
                  <c:v>6</c:v>
                </c:pt>
                <c:pt idx="2">
                  <c:v>6</c:v>
                </c:pt>
                <c:pt idx="3">
                  <c:v>8</c:v>
                </c:pt>
                <c:pt idx="4">
                  <c:v>6</c:v>
                </c:pt>
                <c:pt idx="5">
                  <c:v>8</c:v>
                </c:pt>
                <c:pt idx="6">
                  <c:v>10</c:v>
                </c:pt>
              </c:numCache>
            </c:numRef>
          </c:val>
        </c:ser>
        <c:ser>
          <c:idx val="2"/>
          <c:order val="1"/>
          <c:tx>
            <c:strRef>
              <c:f>'Dynamic capacity'!$A$14</c:f>
              <c:strCache>
                <c:ptCount val="1"/>
                <c:pt idx="0">
                  <c:v>Diagnostics</c:v>
                </c:pt>
              </c:strCache>
            </c:strRef>
          </c:tx>
          <c:invertIfNegative val="0"/>
          <c:val>
            <c:numRef>
              <c:f>'Dynamic capacity'!$B$14:$H$14</c:f>
              <c:numCache>
                <c:formatCode>General</c:formatCode>
                <c:ptCount val="7"/>
                <c:pt idx="0">
                  <c:v>4</c:v>
                </c:pt>
                <c:pt idx="1">
                  <c:v>6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9</c:v>
                </c:pt>
              </c:numCache>
            </c:numRef>
          </c:val>
        </c:ser>
        <c:ser>
          <c:idx val="3"/>
          <c:order val="2"/>
          <c:tx>
            <c:strRef>
              <c:f>'Dynamic capacity'!$A$15</c:f>
              <c:strCache>
                <c:ptCount val="1"/>
                <c:pt idx="0">
                  <c:v>Pre-assessment</c:v>
                </c:pt>
              </c:strCache>
            </c:strRef>
          </c:tx>
          <c:invertIfNegative val="0"/>
          <c:val>
            <c:numRef>
              <c:f>'Dynamic capacity'!$B$15:$H$15</c:f>
              <c:numCache>
                <c:formatCode>General</c:formatCode>
                <c:ptCount val="7"/>
                <c:pt idx="0">
                  <c:v>4</c:v>
                </c:pt>
                <c:pt idx="1">
                  <c:v>2</c:v>
                </c:pt>
                <c:pt idx="2">
                  <c:v>6</c:v>
                </c:pt>
                <c:pt idx="3">
                  <c:v>7</c:v>
                </c:pt>
                <c:pt idx="4">
                  <c:v>9</c:v>
                </c:pt>
                <c:pt idx="5">
                  <c:v>7</c:v>
                </c:pt>
                <c:pt idx="6">
                  <c:v>8</c:v>
                </c:pt>
              </c:numCache>
            </c:numRef>
          </c:val>
        </c:ser>
        <c:ser>
          <c:idx val="4"/>
          <c:order val="3"/>
          <c:tx>
            <c:strRef>
              <c:f>'Dynamic capacity'!$A$16</c:f>
              <c:strCache>
                <c:ptCount val="1"/>
                <c:pt idx="0">
                  <c:v>Inpatient</c:v>
                </c:pt>
              </c:strCache>
            </c:strRef>
          </c:tx>
          <c:invertIfNegative val="0"/>
          <c:val>
            <c:numRef>
              <c:f>'Dynamic capacity'!$B$16:$H$16</c:f>
              <c:numCache>
                <c:formatCode>General</c:formatCode>
                <c:ptCount val="7"/>
                <c:pt idx="0">
                  <c:v>4</c:v>
                </c:pt>
                <c:pt idx="1">
                  <c:v>5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014144"/>
        <c:axId val="143020032"/>
      </c:barChart>
      <c:catAx>
        <c:axId val="143014144"/>
        <c:scaling>
          <c:orientation val="minMax"/>
        </c:scaling>
        <c:delete val="0"/>
        <c:axPos val="b"/>
        <c:majorTickMark val="out"/>
        <c:minorTickMark val="none"/>
        <c:tickLblPos val="nextTo"/>
        <c:crossAx val="143020032"/>
        <c:crosses val="autoZero"/>
        <c:auto val="1"/>
        <c:lblAlgn val="ctr"/>
        <c:lblOffset val="100"/>
        <c:noMultiLvlLbl val="0"/>
      </c:catAx>
      <c:valAx>
        <c:axId val="143020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430141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18</xdr:row>
          <xdr:rowOff>19050</xdr:rowOff>
        </xdr:from>
        <xdr:to>
          <xdr:col>9</xdr:col>
          <xdr:colOff>514350</xdr:colOff>
          <xdr:row>20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1000 runs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11206</xdr:colOff>
      <xdr:row>23</xdr:row>
      <xdr:rowOff>0</xdr:rowOff>
    </xdr:from>
    <xdr:to>
      <xdr:col>25</xdr:col>
      <xdr:colOff>0</xdr:colOff>
      <xdr:row>38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78441</xdr:colOff>
      <xdr:row>9</xdr:row>
      <xdr:rowOff>100853</xdr:rowOff>
    </xdr:from>
    <xdr:to>
      <xdr:col>24</xdr:col>
      <xdr:colOff>526677</xdr:colOff>
      <xdr:row>21</xdr:row>
      <xdr:rowOff>0</xdr:rowOff>
    </xdr:to>
    <xdr:sp macro="" textlink="">
      <xdr:nvSpPr>
        <xdr:cNvPr id="3" name="TextBox 2"/>
        <xdr:cNvSpPr txBox="1"/>
      </xdr:nvSpPr>
      <xdr:spPr>
        <a:xfrm>
          <a:off x="7743265" y="1580029"/>
          <a:ext cx="6364941" cy="2084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Instructions</a:t>
          </a:r>
        </a:p>
        <a:p>
          <a:endParaRPr lang="en-GB" sz="1100"/>
        </a:p>
        <a:p>
          <a:r>
            <a:rPr lang="en-GB" sz="1100"/>
            <a:t>You can change the cells highlighted</a:t>
          </a:r>
          <a:r>
            <a:rPr lang="en-GB" sz="1100" baseline="0"/>
            <a:t> in green - use these to set the upper and lower bounds for the different parts of the pathway.</a:t>
          </a:r>
        </a:p>
        <a:p>
          <a:endParaRPr lang="en-GB" sz="1100" baseline="0"/>
        </a:p>
        <a:p>
          <a:r>
            <a:rPr lang="en-GB" sz="1100"/>
            <a:t>Hitting</a:t>
          </a:r>
          <a:r>
            <a:rPr lang="en-GB" sz="1100" baseline="0"/>
            <a:t> the 'Refresh all' button, or changing the value of a cell will recalculate all the cell values, including re-rolling all the random values.</a:t>
          </a:r>
        </a:p>
        <a:p>
          <a:endParaRPr lang="en-GB" sz="1100" baseline="0"/>
        </a:p>
        <a:p>
          <a:r>
            <a:rPr lang="en-GB" sz="1100" baseline="0"/>
            <a:t>Click on the 'Simulate 1000 runs' to generate summary values for 1000 runs using the parameters you have entered.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Y28"/>
  <sheetViews>
    <sheetView showGridLines="0" tabSelected="1" zoomScale="85" zoomScaleNormal="85" workbookViewId="0">
      <selection activeCell="E20" sqref="E20"/>
    </sheetView>
  </sheetViews>
  <sheetFormatPr defaultRowHeight="14.25" x14ac:dyDescent="0.2"/>
  <cols>
    <col min="1" max="1" width="24.625" bestFit="1" customWidth="1"/>
    <col min="2" max="2" width="10.25" bestFit="1" customWidth="1"/>
    <col min="3" max="3" width="11" bestFit="1" customWidth="1"/>
    <col min="4" max="4" width="4.375" bestFit="1" customWidth="1"/>
    <col min="5" max="25" width="7.5" customWidth="1"/>
  </cols>
  <sheetData>
    <row r="1" spans="1:25" ht="15" x14ac:dyDescent="0.25">
      <c r="B1" s="12" t="s">
        <v>8</v>
      </c>
      <c r="C1" s="12" t="s">
        <v>9</v>
      </c>
      <c r="E1" s="1" t="s">
        <v>18</v>
      </c>
      <c r="F1" s="1"/>
      <c r="G1" s="1"/>
      <c r="H1" s="1" t="s">
        <v>19</v>
      </c>
      <c r="I1" s="1"/>
      <c r="J1" s="1"/>
      <c r="K1" s="1" t="s">
        <v>20</v>
      </c>
      <c r="L1" s="1"/>
      <c r="M1" s="1"/>
      <c r="N1" s="1" t="s">
        <v>21</v>
      </c>
      <c r="O1" s="1"/>
      <c r="P1" s="1"/>
      <c r="Q1" s="1" t="s">
        <v>22</v>
      </c>
      <c r="R1" s="1"/>
      <c r="S1" s="1"/>
      <c r="T1" s="1" t="s">
        <v>23</v>
      </c>
      <c r="U1" s="1"/>
      <c r="V1" s="1"/>
      <c r="W1" s="1" t="s">
        <v>24</v>
      </c>
    </row>
    <row r="2" spans="1:25" ht="15" x14ac:dyDescent="0.25">
      <c r="A2" s="12" t="s">
        <v>6</v>
      </c>
      <c r="B2" s="14">
        <v>1</v>
      </c>
      <c r="C2" s="14">
        <v>6</v>
      </c>
      <c r="G2">
        <f ca="1">RANDBETWEEN($B$2,$C$2)</f>
        <v>6</v>
      </c>
      <c r="J2">
        <f ca="1">RANDBETWEEN($B$2,$C$2)</f>
        <v>4</v>
      </c>
      <c r="M2">
        <f ca="1">RANDBETWEEN($B$2,$C$2)</f>
        <v>6</v>
      </c>
      <c r="P2">
        <f ca="1">RANDBETWEEN($B$2,$C$2)</f>
        <v>2</v>
      </c>
      <c r="S2">
        <f ca="1">RANDBETWEEN($B$2,$C$2)</f>
        <v>6</v>
      </c>
      <c r="V2">
        <f ca="1">RANDBETWEEN($B$2,$C$2)</f>
        <v>6</v>
      </c>
      <c r="Y2">
        <f ca="1">RANDBETWEEN($B$2,$C$2)</f>
        <v>2</v>
      </c>
    </row>
    <row r="4" spans="1:25" ht="15" x14ac:dyDescent="0.25">
      <c r="A4" s="12" t="s">
        <v>3</v>
      </c>
      <c r="B4" s="12" t="s">
        <v>8</v>
      </c>
      <c r="C4" s="12" t="s">
        <v>9</v>
      </c>
      <c r="E4" s="4" t="s">
        <v>4</v>
      </c>
      <c r="F4" s="4" t="s">
        <v>5</v>
      </c>
      <c r="G4" s="4" t="s">
        <v>7</v>
      </c>
      <c r="H4" s="3" t="s">
        <v>4</v>
      </c>
      <c r="I4" s="3" t="s">
        <v>5</v>
      </c>
      <c r="J4" s="3" t="s">
        <v>7</v>
      </c>
      <c r="K4" s="4" t="s">
        <v>4</v>
      </c>
      <c r="L4" s="4" t="s">
        <v>5</v>
      </c>
      <c r="M4" s="4" t="s">
        <v>7</v>
      </c>
      <c r="N4" s="3" t="s">
        <v>4</v>
      </c>
      <c r="O4" s="3" t="s">
        <v>5</v>
      </c>
      <c r="P4" s="3" t="s">
        <v>7</v>
      </c>
      <c r="Q4" s="4" t="s">
        <v>4</v>
      </c>
      <c r="R4" s="4" t="s">
        <v>5</v>
      </c>
      <c r="S4" s="4" t="s">
        <v>7</v>
      </c>
      <c r="T4" s="3" t="s">
        <v>4</v>
      </c>
      <c r="U4" s="3" t="s">
        <v>5</v>
      </c>
      <c r="V4" s="3" t="s">
        <v>7</v>
      </c>
      <c r="W4" s="4" t="s">
        <v>4</v>
      </c>
      <c r="X4" s="4" t="s">
        <v>5</v>
      </c>
      <c r="Y4" s="4" t="s">
        <v>7</v>
      </c>
    </row>
    <row r="5" spans="1:25" ht="15" x14ac:dyDescent="0.25">
      <c r="A5" s="13" t="s">
        <v>0</v>
      </c>
      <c r="B5" s="14">
        <v>2</v>
      </c>
      <c r="C5" s="14">
        <v>6</v>
      </c>
      <c r="E5" s="2">
        <f ca="1">RANDBETWEEN($B5,$C5)</f>
        <v>4</v>
      </c>
      <c r="F5" s="3">
        <v>4</v>
      </c>
      <c r="G5" s="2">
        <f ca="1">IF(F5+G2&gt;=E$5,E$5,F5+G2)</f>
        <v>4</v>
      </c>
      <c r="H5" s="5">
        <f ca="1">RANDBETWEEN($B5,$C5)</f>
        <v>4</v>
      </c>
      <c r="I5" s="5">
        <f ca="1">IF(F5+G2-$E$5&lt;0,0,F5+G2-$E$5)</f>
        <v>6</v>
      </c>
      <c r="J5" s="5">
        <f ca="1">IF(I5+J2&gt;=H$5,H$5,I5+J2)</f>
        <v>4</v>
      </c>
      <c r="K5" s="2">
        <f ca="1">RANDBETWEEN($B5,$C5)</f>
        <v>5</v>
      </c>
      <c r="L5" s="2">
        <f ca="1">IF(I5+J2-$E$5&lt;0,0,I5+J2-$E$5)</f>
        <v>6</v>
      </c>
      <c r="M5" s="2">
        <f ca="1">IF(L5+M2&gt;=K$5,K$5,L5+M2)</f>
        <v>5</v>
      </c>
      <c r="N5" s="5">
        <f ca="1">RANDBETWEEN($B5,$C5)</f>
        <v>6</v>
      </c>
      <c r="O5" s="5">
        <f ca="1">IF(L5+M2-$E$5&lt;0,0,L5+M2-$E$5)</f>
        <v>8</v>
      </c>
      <c r="P5" s="5">
        <f ca="1">IF(O5+P2&gt;=N$5,N$5,O5+P2)</f>
        <v>6</v>
      </c>
      <c r="Q5" s="2">
        <f ca="1">RANDBETWEEN($B5,$C5)</f>
        <v>2</v>
      </c>
      <c r="R5" s="2">
        <f ca="1">IF(O5+P2-$E$5&lt;0,0,O5+P2-$E$5)</f>
        <v>6</v>
      </c>
      <c r="S5" s="2">
        <f ca="1">IF(R5+S2&gt;=$E$5,$E$5,R5+S2)</f>
        <v>4</v>
      </c>
      <c r="T5" s="5">
        <f ca="1">RANDBETWEEN($B5,$C5)</f>
        <v>3</v>
      </c>
      <c r="U5" s="5">
        <f ca="1">IF(R5+S2-$E$5&lt;0,0,R5+S2-$E$5)</f>
        <v>8</v>
      </c>
      <c r="V5" s="5">
        <f ca="1">IF(U5+V2&gt;=T$5,T$5,U5+V2)</f>
        <v>3</v>
      </c>
      <c r="W5" s="2">
        <f ca="1">RANDBETWEEN($B5,$C5)</f>
        <v>6</v>
      </c>
      <c r="X5" s="2">
        <f ca="1">IF(U5+V2-$E$5&lt;0,0,U5+V2-$E$5)</f>
        <v>10</v>
      </c>
      <c r="Y5" s="2">
        <f ca="1">IF(X5+Y2&gt;=W$5,W$5,X5+Y2)</f>
        <v>6</v>
      </c>
    </row>
    <row r="6" spans="1:25" ht="15" x14ac:dyDescent="0.25">
      <c r="A6" s="13" t="s">
        <v>1</v>
      </c>
      <c r="B6" s="14">
        <v>2</v>
      </c>
      <c r="C6" s="14">
        <v>6</v>
      </c>
      <c r="E6" s="2">
        <f t="shared" ref="E6:E7" ca="1" si="0">RANDBETWEEN($B6,$C6)</f>
        <v>2</v>
      </c>
      <c r="F6" s="3">
        <v>4</v>
      </c>
      <c r="G6" s="2">
        <f t="shared" ref="G6:G7" ca="1" si="1">IF(F6&gt;=E6,E6,F6)</f>
        <v>2</v>
      </c>
      <c r="H6" s="5">
        <f t="shared" ref="H6:H8" ca="1" si="2">RANDBETWEEN($B6,$C6)</f>
        <v>6</v>
      </c>
      <c r="I6" s="5">
        <f ca="1">F6-G6+G5</f>
        <v>6</v>
      </c>
      <c r="J6" s="5">
        <f t="shared" ref="J6:J7" ca="1" si="3">IF(I6&gt;=H6,H6,I6)</f>
        <v>6</v>
      </c>
      <c r="K6" s="2">
        <f t="shared" ref="K6:K8" ca="1" si="4">RANDBETWEEN($B6,$C6)</f>
        <v>3</v>
      </c>
      <c r="L6" s="2">
        <f ca="1">I6-J6+J5</f>
        <v>4</v>
      </c>
      <c r="M6" s="2">
        <f t="shared" ref="M6:M7" ca="1" si="5">IF(L6&gt;=K6,K6,L6)</f>
        <v>3</v>
      </c>
      <c r="N6" s="5">
        <f t="shared" ref="N6:N8" ca="1" si="6">RANDBETWEEN($B6,$C6)</f>
        <v>4</v>
      </c>
      <c r="O6" s="5">
        <f ca="1">L6-M6+M5</f>
        <v>6</v>
      </c>
      <c r="P6" s="5">
        <f t="shared" ref="P6:P7" ca="1" si="7">IF(O6&gt;=N6,N6,O6)</f>
        <v>4</v>
      </c>
      <c r="Q6" s="2">
        <f t="shared" ref="Q6:Q8" ca="1" si="8">RANDBETWEEN($B6,$C6)</f>
        <v>2</v>
      </c>
      <c r="R6" s="2">
        <f ca="1">O6-P6+P5</f>
        <v>8</v>
      </c>
      <c r="S6" s="2">
        <f ca="1">IF(R6&gt;=$E6,$E6,R6)</f>
        <v>2</v>
      </c>
      <c r="T6" s="5">
        <f t="shared" ref="T6:T8" ca="1" si="9">RANDBETWEEN($B6,$C6)</f>
        <v>4</v>
      </c>
      <c r="U6" s="5">
        <f ca="1">R6-S6+S5</f>
        <v>10</v>
      </c>
      <c r="V6" s="5">
        <f t="shared" ref="V6:V7" ca="1" si="10">IF(U6&gt;=T6,T6,U6)</f>
        <v>4</v>
      </c>
      <c r="W6" s="2">
        <f t="shared" ref="W6:W8" ca="1" si="11">RANDBETWEEN($B6,$C6)</f>
        <v>3</v>
      </c>
      <c r="X6" s="2">
        <f ca="1">U6-V6+V5</f>
        <v>9</v>
      </c>
      <c r="Y6" s="2">
        <f t="shared" ref="Y6:Y7" ca="1" si="12">IF(X6&gt;=W6,W6,X6)</f>
        <v>3</v>
      </c>
    </row>
    <row r="7" spans="1:25" ht="15.75" thickBot="1" x14ac:dyDescent="0.3">
      <c r="A7" s="13" t="s">
        <v>14</v>
      </c>
      <c r="B7" s="14">
        <v>1</v>
      </c>
      <c r="C7" s="14">
        <v>4</v>
      </c>
      <c r="E7" s="2">
        <f t="shared" ca="1" si="0"/>
        <v>4</v>
      </c>
      <c r="F7" s="3">
        <v>4</v>
      </c>
      <c r="G7" s="2">
        <f t="shared" ca="1" si="1"/>
        <v>4</v>
      </c>
      <c r="H7" s="5">
        <f t="shared" ca="1" si="2"/>
        <v>2</v>
      </c>
      <c r="I7" s="5">
        <f ca="1">F7-G7+G6</f>
        <v>2</v>
      </c>
      <c r="J7" s="5">
        <f t="shared" ca="1" si="3"/>
        <v>2</v>
      </c>
      <c r="K7" s="2">
        <f t="shared" ca="1" si="4"/>
        <v>2</v>
      </c>
      <c r="L7" s="2">
        <f ca="1">I7-J7+J6</f>
        <v>6</v>
      </c>
      <c r="M7" s="2">
        <f t="shared" ca="1" si="5"/>
        <v>2</v>
      </c>
      <c r="N7" s="5">
        <f t="shared" ca="1" si="6"/>
        <v>2</v>
      </c>
      <c r="O7" s="5">
        <f ca="1">L7-M7+M6</f>
        <v>7</v>
      </c>
      <c r="P7" s="5">
        <f t="shared" ca="1" si="7"/>
        <v>2</v>
      </c>
      <c r="Q7" s="2">
        <f t="shared" ca="1" si="8"/>
        <v>4</v>
      </c>
      <c r="R7" s="2">
        <f ca="1">O7-P7+P6</f>
        <v>9</v>
      </c>
      <c r="S7" s="2">
        <f t="shared" ref="S7:S8" ca="1" si="13">IF(R7&gt;=$E7,$E7,R7)</f>
        <v>4</v>
      </c>
      <c r="T7" s="5">
        <f t="shared" ca="1" si="9"/>
        <v>3</v>
      </c>
      <c r="U7" s="5">
        <f ca="1">R7-S7+S6</f>
        <v>7</v>
      </c>
      <c r="V7" s="5">
        <f t="shared" ca="1" si="10"/>
        <v>3</v>
      </c>
      <c r="W7" s="2">
        <f t="shared" ca="1" si="11"/>
        <v>3</v>
      </c>
      <c r="X7" s="2">
        <f ca="1">U7-V7+V6</f>
        <v>8</v>
      </c>
      <c r="Y7" s="2">
        <f t="shared" ca="1" si="12"/>
        <v>3</v>
      </c>
    </row>
    <row r="8" spans="1:25" ht="15.75" thickBot="1" x14ac:dyDescent="0.3">
      <c r="A8" s="13" t="s">
        <v>2</v>
      </c>
      <c r="B8" s="14">
        <v>2</v>
      </c>
      <c r="C8" s="14">
        <v>6</v>
      </c>
      <c r="E8" s="2">
        <f ca="1">RANDBETWEEN($B8,$C8)</f>
        <v>3</v>
      </c>
      <c r="F8" s="3">
        <v>4</v>
      </c>
      <c r="G8" s="7">
        <f ca="1">IF(F8&gt;=E8,E8,F8)</f>
        <v>3</v>
      </c>
      <c r="H8" s="5">
        <f t="shared" ca="1" si="2"/>
        <v>5</v>
      </c>
      <c r="I8" s="5">
        <f ca="1">F8-G8+G7</f>
        <v>5</v>
      </c>
      <c r="J8" s="8">
        <f ca="1">IF(I8&gt;=H8,H8,I8)</f>
        <v>5</v>
      </c>
      <c r="K8" s="2">
        <f t="shared" ca="1" si="4"/>
        <v>2</v>
      </c>
      <c r="L8" s="2">
        <f ca="1">I8-J8+J7</f>
        <v>2</v>
      </c>
      <c r="M8" s="7">
        <f ca="1">IF(L8&gt;=K8,K8,L8)</f>
        <v>2</v>
      </c>
      <c r="N8" s="5">
        <f t="shared" ca="1" si="6"/>
        <v>5</v>
      </c>
      <c r="O8" s="5">
        <f ca="1">L8-M8+M7</f>
        <v>2</v>
      </c>
      <c r="P8" s="8">
        <f ca="1">IF(O8&gt;=N8,N8,O8)</f>
        <v>2</v>
      </c>
      <c r="Q8" s="2">
        <f t="shared" ca="1" si="8"/>
        <v>2</v>
      </c>
      <c r="R8" s="2">
        <f ca="1">O8-P8+P7</f>
        <v>2</v>
      </c>
      <c r="S8" s="3">
        <f t="shared" ca="1" si="13"/>
        <v>2</v>
      </c>
      <c r="T8" s="5">
        <f t="shared" ca="1" si="9"/>
        <v>5</v>
      </c>
      <c r="U8" s="5">
        <f ca="1">R8-S8+S7</f>
        <v>4</v>
      </c>
      <c r="V8" s="8">
        <f ca="1">IF(U8&gt;=T8,T8,U8)</f>
        <v>4</v>
      </c>
      <c r="W8" s="2">
        <f t="shared" ca="1" si="11"/>
        <v>5</v>
      </c>
      <c r="X8" s="2">
        <f ca="1">U8-V8+V7</f>
        <v>3</v>
      </c>
      <c r="Y8" s="7">
        <f ca="1">IF(X8&gt;=W8,W8,X8)</f>
        <v>3</v>
      </c>
    </row>
    <row r="11" spans="1:25" ht="15" x14ac:dyDescent="0.25">
      <c r="A11" s="1" t="s">
        <v>17</v>
      </c>
      <c r="B11" s="1" t="s">
        <v>5</v>
      </c>
    </row>
    <row r="12" spans="1:25" ht="15" x14ac:dyDescent="0.25">
      <c r="A12" s="9" t="s">
        <v>25</v>
      </c>
      <c r="B12" s="9">
        <v>1</v>
      </c>
      <c r="C12" s="9">
        <v>2</v>
      </c>
      <c r="D12" s="9">
        <v>3</v>
      </c>
      <c r="E12" s="9">
        <v>4</v>
      </c>
      <c r="F12" s="9">
        <v>5</v>
      </c>
      <c r="G12" s="9">
        <v>6</v>
      </c>
      <c r="H12" s="9">
        <v>7</v>
      </c>
    </row>
    <row r="13" spans="1:25" x14ac:dyDescent="0.2">
      <c r="A13" s="10" t="str">
        <f>A5</f>
        <v>First OP</v>
      </c>
      <c r="B13" s="11">
        <f t="shared" ref="B13:H14" ca="1" si="14">OFFSET($F5,0,(COLUMN(A2)-1)*3,1,1)</f>
        <v>4</v>
      </c>
      <c r="C13" s="11">
        <f t="shared" ca="1" si="14"/>
        <v>6</v>
      </c>
      <c r="D13" s="11">
        <f t="shared" ca="1" si="14"/>
        <v>6</v>
      </c>
      <c r="E13" s="11">
        <f t="shared" ca="1" si="14"/>
        <v>8</v>
      </c>
      <c r="F13" s="11">
        <f t="shared" ca="1" si="14"/>
        <v>6</v>
      </c>
      <c r="G13" s="11">
        <f t="shared" ca="1" si="14"/>
        <v>8</v>
      </c>
      <c r="H13" s="11">
        <f t="shared" ca="1" si="14"/>
        <v>10</v>
      </c>
    </row>
    <row r="14" spans="1:25" x14ac:dyDescent="0.2">
      <c r="A14" s="10" t="str">
        <f t="shared" ref="A14:A16" si="15">A6</f>
        <v>Diagnostics</v>
      </c>
      <c r="B14" s="11">
        <f t="shared" ca="1" si="14"/>
        <v>4</v>
      </c>
      <c r="C14" s="11">
        <f t="shared" ca="1" si="14"/>
        <v>6</v>
      </c>
      <c r="D14" s="11">
        <f t="shared" ca="1" si="14"/>
        <v>4</v>
      </c>
      <c r="E14" s="11">
        <f t="shared" ca="1" si="14"/>
        <v>6</v>
      </c>
      <c r="F14" s="11">
        <f t="shared" ca="1" si="14"/>
        <v>8</v>
      </c>
      <c r="G14" s="11">
        <f t="shared" ca="1" si="14"/>
        <v>10</v>
      </c>
      <c r="H14" s="11">
        <f t="shared" ca="1" si="14"/>
        <v>9</v>
      </c>
    </row>
    <row r="15" spans="1:25" x14ac:dyDescent="0.2">
      <c r="A15" s="10" t="str">
        <f t="shared" si="15"/>
        <v>Pre-assessment</v>
      </c>
      <c r="B15" s="11">
        <f t="shared" ref="B15:B16" ca="1" si="16">OFFSET($F7,0,(COLUMN(A4)-1)*3,1,1)</f>
        <v>4</v>
      </c>
      <c r="C15" s="11">
        <f t="shared" ref="C15:H15" ca="1" si="17">OFFSET($F7,0,(COLUMN(B4)-1)*3,1,1)</f>
        <v>2</v>
      </c>
      <c r="D15" s="11">
        <f t="shared" ca="1" si="17"/>
        <v>6</v>
      </c>
      <c r="E15" s="11">
        <f t="shared" ca="1" si="17"/>
        <v>7</v>
      </c>
      <c r="F15" s="11">
        <f t="shared" ca="1" si="17"/>
        <v>9</v>
      </c>
      <c r="G15" s="11">
        <f t="shared" ca="1" si="17"/>
        <v>7</v>
      </c>
      <c r="H15" s="11">
        <f t="shared" ca="1" si="17"/>
        <v>8</v>
      </c>
    </row>
    <row r="16" spans="1:25" x14ac:dyDescent="0.2">
      <c r="A16" s="10" t="str">
        <f t="shared" si="15"/>
        <v>Inpatient</v>
      </c>
      <c r="B16" s="11">
        <f t="shared" ca="1" si="16"/>
        <v>4</v>
      </c>
      <c r="C16" s="11">
        <f t="shared" ref="C16:H16" ca="1" si="18">OFFSET($F8,0,(COLUMN(B5)-1)*3,1,1)</f>
        <v>5</v>
      </c>
      <c r="D16" s="11">
        <f t="shared" ca="1" si="18"/>
        <v>2</v>
      </c>
      <c r="E16" s="11">
        <f t="shared" ca="1" si="18"/>
        <v>2</v>
      </c>
      <c r="F16" s="11">
        <f t="shared" ca="1" si="18"/>
        <v>2</v>
      </c>
      <c r="G16" s="11">
        <f t="shared" ca="1" si="18"/>
        <v>4</v>
      </c>
      <c r="H16" s="11">
        <f t="shared" ca="1" si="18"/>
        <v>3</v>
      </c>
    </row>
    <row r="17" spans="1:8" ht="15" x14ac:dyDescent="0.25">
      <c r="A17" s="11" t="s">
        <v>11</v>
      </c>
      <c r="H17" s="9">
        <f ca="1">SUM(H13:H16)</f>
        <v>30</v>
      </c>
    </row>
    <row r="19" spans="1:8" ht="15" x14ac:dyDescent="0.25">
      <c r="A19" s="13" t="s">
        <v>10</v>
      </c>
      <c r="B19" s="12">
        <f ca="1">SUM(Y5:Y8)</f>
        <v>15</v>
      </c>
    </row>
    <row r="20" spans="1:8" x14ac:dyDescent="0.2">
      <c r="A20" s="13" t="s">
        <v>12</v>
      </c>
      <c r="B20" s="15">
        <v>11.683</v>
      </c>
      <c r="C20" s="6"/>
      <c r="D20" s="6"/>
      <c r="E20" s="6"/>
      <c r="F20" s="6"/>
    </row>
    <row r="21" spans="1:8" x14ac:dyDescent="0.2">
      <c r="A21" t="s">
        <v>16</v>
      </c>
      <c r="B21" s="6">
        <v>2.806</v>
      </c>
      <c r="C21" s="6"/>
      <c r="D21" s="6"/>
      <c r="E21" s="6"/>
      <c r="F21" s="6"/>
    </row>
    <row r="22" spans="1:8" x14ac:dyDescent="0.2">
      <c r="A22" s="13" t="s">
        <v>13</v>
      </c>
      <c r="B22" s="15">
        <v>22.097999999999999</v>
      </c>
      <c r="C22" s="6"/>
      <c r="D22" s="6"/>
      <c r="E22" s="6"/>
      <c r="F22" s="6"/>
    </row>
    <row r="23" spans="1:8" x14ac:dyDescent="0.2">
      <c r="A23" t="s">
        <v>15</v>
      </c>
    </row>
    <row r="24" spans="1:8" x14ac:dyDescent="0.2">
      <c r="B24" s="6"/>
      <c r="C24" s="6"/>
    </row>
    <row r="25" spans="1:8" x14ac:dyDescent="0.2">
      <c r="B25" s="6"/>
      <c r="C25" s="6"/>
    </row>
    <row r="27" spans="1:8" x14ac:dyDescent="0.2">
      <c r="B27" s="6"/>
      <c r="C27" s="6"/>
    </row>
    <row r="28" spans="1:8" x14ac:dyDescent="0.2">
      <c r="B28" s="6"/>
      <c r="C28" s="6"/>
    </row>
  </sheetData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imulateMe">
                <anchor moveWithCells="1" sizeWithCells="1">
                  <from>
                    <xdr:col>6</xdr:col>
                    <xdr:colOff>295275</xdr:colOff>
                    <xdr:row>18</xdr:row>
                    <xdr:rowOff>19050</xdr:rowOff>
                  </from>
                  <to>
                    <xdr:col>9</xdr:col>
                    <xdr:colOff>514350</xdr:colOff>
                    <xdr:row>20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Dynamic capacity</vt:lpstr>
    </vt:vector>
  </TitlesOfParts>
  <Company>IMS3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Khunpha, Keith</dc:creator>
  <cp:lastModifiedBy>Khunpha, Keith</cp:lastModifiedBy>
  <dcterms:created xsi:type="dcterms:W3CDTF">2018-03-21T11:39:23Z</dcterms:created>
  <dcterms:modified xsi:type="dcterms:W3CDTF">2018-06-18T16:42:32Z</dcterms:modified>
</cp:coreProperties>
</file>